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handana P\Downloads\"/>
    </mc:Choice>
  </mc:AlternateContent>
  <xr:revisionPtr revIDLastSave="0" documentId="13_ncr:1_{163B9FA2-16C3-487A-9749-AC2369D8A5B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st Cases" sheetId="1" r:id="rId1"/>
    <sheet name="Bug Report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B14" i="3"/>
  <c r="B13" i="3"/>
  <c r="B11" i="3"/>
  <c r="B10" i="3"/>
  <c r="B9" i="3"/>
</calcChain>
</file>

<file path=xl/sharedStrings.xml><?xml version="1.0" encoding="utf-8"?>
<sst xmlns="http://schemas.openxmlformats.org/spreadsheetml/2006/main" count="220" uniqueCount="165">
  <si>
    <t>Test Case ID</t>
  </si>
  <si>
    <t>Module</t>
  </si>
  <si>
    <t>Test Scenario</t>
  </si>
  <si>
    <t>Steps to Execute</t>
  </si>
  <si>
    <t>Test Data</t>
  </si>
  <si>
    <t>Expected Result</t>
  </si>
  <si>
    <t>Actual Result</t>
  </si>
  <si>
    <t>Status</t>
  </si>
  <si>
    <t>TC01</t>
  </si>
  <si>
    <t>Search</t>
  </si>
  <si>
    <t>Search with valid keyword</t>
  </si>
  <si>
    <t>1. Open amazon.in
2. Type 'Laptop'
3. Click Search</t>
  </si>
  <si>
    <t>Laptop</t>
  </si>
  <si>
    <t>List of laptops should appear</t>
  </si>
  <si>
    <t>Laptop products displayed</t>
  </si>
  <si>
    <t>Pass</t>
  </si>
  <si>
    <t>TC02</t>
  </si>
  <si>
    <t>Search with empty input</t>
  </si>
  <si>
    <t>1. Open amazon.in
2. Leave search bar empty
3. Click Search</t>
  </si>
  <si>
    <t>(blank)</t>
  </si>
  <si>
    <t>Page loads without error</t>
  </si>
  <si>
    <t>Page loaded normally</t>
  </si>
  <si>
    <t>TC03</t>
  </si>
  <si>
    <t>Search with numbers</t>
  </si>
  <si>
    <t>1. Open amazon.in
2. Type '1234'
3. Click Search</t>
  </si>
  <si>
    <t>1234</t>
  </si>
  <si>
    <t>Search results displayed</t>
  </si>
  <si>
    <t>Results appeared</t>
  </si>
  <si>
    <t>TC04</t>
  </si>
  <si>
    <t>Search with special characters</t>
  </si>
  <si>
    <t>1. Open amazon.in
2. Type '@#$%'
3. Click Search</t>
  </si>
  <si>
    <t>@#$%</t>
  </si>
  <si>
    <t>System handles input without crash</t>
  </si>
  <si>
    <t>No crash occurred</t>
  </si>
  <si>
    <t>TC05</t>
  </si>
  <si>
    <t>Search with single letter</t>
  </si>
  <si>
    <t>1. Open amazon.in
2. Type 'a'
3. Click Search</t>
  </si>
  <si>
    <t>a</t>
  </si>
  <si>
    <t>Search results appear</t>
  </si>
  <si>
    <t>TC06</t>
  </si>
  <si>
    <t>Search with very long text</t>
  </si>
  <si>
    <t>1. Open amazon.in
2. Paste 500 characters in search
3. Click Search</t>
  </si>
  <si>
    <t>500 char string</t>
  </si>
  <si>
    <t>No crash, input handled</t>
  </si>
  <si>
    <t>No crash observed</t>
  </si>
  <si>
    <t>TC07</t>
  </si>
  <si>
    <t>Search with multiple words</t>
  </si>
  <si>
    <t>1. Open amazon.in
2. Type 'gaming laptop'
3. Click Search</t>
  </si>
  <si>
    <t>gaming laptop</t>
  </si>
  <si>
    <t>Relevant results shown</t>
  </si>
  <si>
    <t>Correct results appeared</t>
  </si>
  <si>
    <t>TC08</t>
  </si>
  <si>
    <t>Search with uppercase letters</t>
  </si>
  <si>
    <t>1. Open amazon.in
2. Type 'LAPTOP'
3. Click Search</t>
  </si>
  <si>
    <t>LAPTOP</t>
  </si>
  <si>
    <t>Same results as lowercase</t>
  </si>
  <si>
    <t>Results same as lowercase</t>
  </si>
  <si>
    <t>TC09</t>
  </si>
  <si>
    <t>Search with misspelled word</t>
  </si>
  <si>
    <t>1. Open amazon.in
2. Type 'leptop'
3. Click Search</t>
  </si>
  <si>
    <t>leptop</t>
  </si>
  <si>
    <t>Suggestions or corrected results shown</t>
  </si>
  <si>
    <t>No suggestions shown</t>
  </si>
  <si>
    <t>Fail</t>
  </si>
  <si>
    <t>TC10</t>
  </si>
  <si>
    <t>Search autocomplete/suggestions</t>
  </si>
  <si>
    <t>1. Open amazon.in
2. Type 'mob' in search bar
3. Observe dropdown</t>
  </si>
  <si>
    <t>mob</t>
  </si>
  <si>
    <t>Dropdown suggestion list appears</t>
  </si>
  <si>
    <t>Suggestions appeared</t>
  </si>
  <si>
    <t>TC11</t>
  </si>
  <si>
    <t>Filter</t>
  </si>
  <si>
    <t>Filter results by category</t>
  </si>
  <si>
    <t>1. Search 'Electronics'
2. Select category filter</t>
  </si>
  <si>
    <t>Electronics</t>
  </si>
  <si>
    <t>Only electronics displayed</t>
  </si>
  <si>
    <t>Filtered correctly</t>
  </si>
  <si>
    <t>TC12</t>
  </si>
  <si>
    <t>Sort by price low to high</t>
  </si>
  <si>
    <t>1. Search any product
2. Select Sort: Price Low to High</t>
  </si>
  <si>
    <t>Any</t>
  </si>
  <si>
    <t>Products sorted ascending by price</t>
  </si>
  <si>
    <t>Sorted correctly</t>
  </si>
  <si>
    <t>TC13</t>
  </si>
  <si>
    <t>Sort by customer rating</t>
  </si>
  <si>
    <t>1. Search any product
2. Select Sort: Avg Customer Review</t>
  </si>
  <si>
    <t>Highest rated products appear first</t>
  </si>
  <si>
    <t>TC14</t>
  </si>
  <si>
    <t>Product</t>
  </si>
  <si>
    <t>Click first search result</t>
  </si>
  <si>
    <t>1. Search 'Headphones'
2. Click first product</t>
  </si>
  <si>
    <t>Headphones</t>
  </si>
  <si>
    <t>Product detail page opens</t>
  </si>
  <si>
    <t>Product page opened</t>
  </si>
  <si>
    <t>TC15</t>
  </si>
  <si>
    <t>Verify product images load</t>
  </si>
  <si>
    <t>1. Open any product page
2. Check images</t>
  </si>
  <si>
    <t>Any product</t>
  </si>
  <si>
    <t>All images load properly</t>
  </si>
  <si>
    <t>Images loaded</t>
  </si>
  <si>
    <t>TC16</t>
  </si>
  <si>
    <t>Verify product price is visible</t>
  </si>
  <si>
    <t>1. Open any product page
2. Check price display</t>
  </si>
  <si>
    <t>Price is clearly displayed</t>
  </si>
  <si>
    <t>Price displayed</t>
  </si>
  <si>
    <t>TC17</t>
  </si>
  <si>
    <t>Clear and re-search</t>
  </si>
  <si>
    <t>1. Search 'Laptop'
2. Clear search bar
3. Type 'Phone'
4. Search</t>
  </si>
  <si>
    <t>Phone</t>
  </si>
  <si>
    <t>Fresh results for new keyword</t>
  </si>
  <si>
    <t>New results appeared</t>
  </si>
  <si>
    <t>TC18</t>
  </si>
  <si>
    <t>Press Enter vs click Search button</t>
  </si>
  <si>
    <t>1. Type 'Watch' in search
2. Press Enter
3. Repeat with click</t>
  </si>
  <si>
    <t>Watch</t>
  </si>
  <si>
    <t>Same results both ways</t>
  </si>
  <si>
    <t>Results identical</t>
  </si>
  <si>
    <t>TC19</t>
  </si>
  <si>
    <t>Navigation</t>
  </si>
  <si>
    <t>Back button after search</t>
  </si>
  <si>
    <t>1. Search any product
2. Click browser Back button</t>
  </si>
  <si>
    <t>Returns to previous page safely</t>
  </si>
  <si>
    <t>Returned safely</t>
  </si>
  <si>
    <t>TC20</t>
  </si>
  <si>
    <t>Search on mobile view</t>
  </si>
  <si>
    <t>1. Open amazon.in on mobile
2. Search 'Watch'</t>
  </si>
  <si>
    <t>Responsive results displayed</t>
  </si>
  <si>
    <t>Results shown correctly</t>
  </si>
  <si>
    <t>Bug ID</t>
  </si>
  <si>
    <t>Bug Description</t>
  </si>
  <si>
    <t>Severity</t>
  </si>
  <si>
    <t>Priority</t>
  </si>
  <si>
    <t>Steps to Reproduce</t>
  </si>
  <si>
    <t>BUG001</t>
  </si>
  <si>
    <t>Misspelled word 'leptop' shows no suggestions or corrections</t>
  </si>
  <si>
    <t>Medium</t>
  </si>
  <si>
    <t>1. Open amazon.in
2. Type 'leptop' in search
3. Click Search</t>
  </si>
  <si>
    <t>Suggestions or 'Did you mean laptop?' displayed</t>
  </si>
  <si>
    <t>No suggestions shown, unrelated results appear</t>
  </si>
  <si>
    <t>Open</t>
  </si>
  <si>
    <t>BUG002</t>
  </si>
  <si>
    <t>Searching '@#$%' shows unrelated sponsored ads instead of error message</t>
  </si>
  <si>
    <t>Low</t>
  </si>
  <si>
    <t>Clean no-results page or error message</t>
  </si>
  <si>
    <t>Sponsored product ads appear unrelated to input</t>
  </si>
  <si>
    <t>BUG003</t>
  </si>
  <si>
    <t>Price sort shows some out-of-order sponsored products mixed in</t>
  </si>
  <si>
    <t>1. Search any product
2. Sort by Price: Low to High
3. Observe order</t>
  </si>
  <si>
    <t>All products sorted strictly by price</t>
  </si>
  <si>
    <t>Sponsored items appear out of sort order</t>
  </si>
  <si>
    <t>In Review</t>
  </si>
  <si>
    <t>Project Name</t>
  </si>
  <si>
    <t>Amazon Search Functionality Testing</t>
  </si>
  <si>
    <t>Tester Name</t>
  </si>
  <si>
    <t>Test Date</t>
  </si>
  <si>
    <t>Browser</t>
  </si>
  <si>
    <t>Environment</t>
  </si>
  <si>
    <t>https://www.amazon.in</t>
  </si>
  <si>
    <t>METRIC</t>
  </si>
  <si>
    <t>COUNT</t>
  </si>
  <si>
    <t>Total Test Cases</t>
  </si>
  <si>
    <t>Not Executed</t>
  </si>
  <si>
    <t>Total Bugs Found</t>
  </si>
  <si>
    <t>Open Bugs</t>
  </si>
  <si>
    <t>Closed Bugs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</si>
</sst>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color rgb="FF276221"/>
      <name val="Arial"/>
    </font>
    <font>
      <b/>
      <sz val="10"/>
      <color rgb="FF9C0006"/>
      <name val="Arial"/>
    </font>
    <font>
      <b/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FFC7CE"/>
      </patternFill>
    </fill>
    <fill>
      <patternFill patternType="solid">
        <fgColor rgb="FF833C00"/>
      </patternFill>
    </fill>
    <fill>
      <patternFill patternType="solid">
        <fgColor rgb="FFFFEB9C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/>
    <xf numFmtId="0" fontId="2" fillId="9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topLeftCell="C1" workbookViewId="0">
      <pane ySplit="1" topLeftCell="A4" activePane="bottomLeft" state="frozen"/>
      <selection pane="bottomLeft"/>
    </sheetView>
  </sheetViews>
  <sheetFormatPr defaultRowHeight="14.5" x14ac:dyDescent="0.35"/>
  <cols>
    <col min="1" max="2" width="12" customWidth="1"/>
    <col min="3" max="3" width="30" customWidth="1"/>
    <col min="4" max="4" width="40" customWidth="1"/>
    <col min="5" max="5" width="18" customWidth="1"/>
    <col min="6" max="6" width="32" customWidth="1"/>
    <col min="7" max="7" width="28" customWidth="1"/>
    <col min="8" max="8" width="10" customWidth="1"/>
  </cols>
  <sheetData>
    <row r="1" spans="1:8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5" customHeight="1" x14ac:dyDescent="0.35">
      <c r="A2" s="2" t="s">
        <v>8</v>
      </c>
      <c r="B2" s="2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4" t="s">
        <v>15</v>
      </c>
    </row>
    <row r="3" spans="1:8" ht="55" customHeight="1" x14ac:dyDescent="0.35">
      <c r="A3" s="5" t="s">
        <v>16</v>
      </c>
      <c r="B3" s="5" t="s">
        <v>9</v>
      </c>
      <c r="C3" s="6" t="s">
        <v>17</v>
      </c>
      <c r="D3" s="6" t="s">
        <v>18</v>
      </c>
      <c r="E3" s="6" t="s">
        <v>19</v>
      </c>
      <c r="F3" s="6" t="s">
        <v>20</v>
      </c>
      <c r="G3" s="6" t="s">
        <v>21</v>
      </c>
      <c r="H3" s="4" t="s">
        <v>15</v>
      </c>
    </row>
    <row r="4" spans="1:8" ht="55" customHeight="1" x14ac:dyDescent="0.35">
      <c r="A4" s="2" t="s">
        <v>22</v>
      </c>
      <c r="B4" s="2" t="s">
        <v>9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4" t="s">
        <v>15</v>
      </c>
    </row>
    <row r="5" spans="1:8" ht="55" customHeight="1" x14ac:dyDescent="0.35">
      <c r="A5" s="5" t="s">
        <v>28</v>
      </c>
      <c r="B5" s="5" t="s">
        <v>9</v>
      </c>
      <c r="C5" s="6" t="s">
        <v>29</v>
      </c>
      <c r="D5" s="6" t="s">
        <v>30</v>
      </c>
      <c r="E5" s="6" t="s">
        <v>31</v>
      </c>
      <c r="F5" s="6" t="s">
        <v>32</v>
      </c>
      <c r="G5" s="6" t="s">
        <v>33</v>
      </c>
      <c r="H5" s="4" t="s">
        <v>15</v>
      </c>
    </row>
    <row r="6" spans="1:8" ht="55" customHeight="1" x14ac:dyDescent="0.35">
      <c r="A6" s="2" t="s">
        <v>34</v>
      </c>
      <c r="B6" s="2" t="s">
        <v>9</v>
      </c>
      <c r="C6" s="3" t="s">
        <v>35</v>
      </c>
      <c r="D6" s="3" t="s">
        <v>36</v>
      </c>
      <c r="E6" s="3" t="s">
        <v>37</v>
      </c>
      <c r="F6" s="3" t="s">
        <v>38</v>
      </c>
      <c r="G6" s="3" t="s">
        <v>27</v>
      </c>
      <c r="H6" s="4" t="s">
        <v>15</v>
      </c>
    </row>
    <row r="7" spans="1:8" ht="55" customHeight="1" x14ac:dyDescent="0.35">
      <c r="A7" s="5" t="s">
        <v>39</v>
      </c>
      <c r="B7" s="5" t="s">
        <v>9</v>
      </c>
      <c r="C7" s="6" t="s">
        <v>40</v>
      </c>
      <c r="D7" s="6" t="s">
        <v>41</v>
      </c>
      <c r="E7" s="6" t="s">
        <v>42</v>
      </c>
      <c r="F7" s="6" t="s">
        <v>43</v>
      </c>
      <c r="G7" s="6" t="s">
        <v>44</v>
      </c>
      <c r="H7" s="4" t="s">
        <v>15</v>
      </c>
    </row>
    <row r="8" spans="1:8" ht="55" customHeight="1" x14ac:dyDescent="0.35">
      <c r="A8" s="2" t="s">
        <v>45</v>
      </c>
      <c r="B8" s="2" t="s">
        <v>9</v>
      </c>
      <c r="C8" s="3" t="s">
        <v>46</v>
      </c>
      <c r="D8" s="3" t="s">
        <v>47</v>
      </c>
      <c r="E8" s="3" t="s">
        <v>48</v>
      </c>
      <c r="F8" s="3" t="s">
        <v>49</v>
      </c>
      <c r="G8" s="3" t="s">
        <v>50</v>
      </c>
      <c r="H8" s="4" t="s">
        <v>15</v>
      </c>
    </row>
    <row r="9" spans="1:8" ht="55" customHeight="1" x14ac:dyDescent="0.35">
      <c r="A9" s="5" t="s">
        <v>51</v>
      </c>
      <c r="B9" s="5" t="s">
        <v>9</v>
      </c>
      <c r="C9" s="6" t="s">
        <v>52</v>
      </c>
      <c r="D9" s="6" t="s">
        <v>53</v>
      </c>
      <c r="E9" s="6" t="s">
        <v>54</v>
      </c>
      <c r="F9" s="6" t="s">
        <v>55</v>
      </c>
      <c r="G9" s="6" t="s">
        <v>56</v>
      </c>
      <c r="H9" s="4" t="s">
        <v>15</v>
      </c>
    </row>
    <row r="10" spans="1:8" ht="55" customHeight="1" x14ac:dyDescent="0.35">
      <c r="A10" s="2" t="s">
        <v>57</v>
      </c>
      <c r="B10" s="2" t="s">
        <v>9</v>
      </c>
      <c r="C10" s="3" t="s">
        <v>58</v>
      </c>
      <c r="D10" s="3" t="s">
        <v>59</v>
      </c>
      <c r="E10" s="3" t="s">
        <v>60</v>
      </c>
      <c r="F10" s="3" t="s">
        <v>61</v>
      </c>
      <c r="G10" s="3" t="s">
        <v>62</v>
      </c>
      <c r="H10" s="7" t="s">
        <v>63</v>
      </c>
    </row>
    <row r="11" spans="1:8" ht="55" customHeight="1" x14ac:dyDescent="0.35">
      <c r="A11" s="5" t="s">
        <v>64</v>
      </c>
      <c r="B11" s="5" t="s">
        <v>9</v>
      </c>
      <c r="C11" s="6" t="s">
        <v>65</v>
      </c>
      <c r="D11" s="6" t="s">
        <v>66</v>
      </c>
      <c r="E11" s="6" t="s">
        <v>67</v>
      </c>
      <c r="F11" s="6" t="s">
        <v>68</v>
      </c>
      <c r="G11" s="6" t="s">
        <v>69</v>
      </c>
      <c r="H11" s="4" t="s">
        <v>15</v>
      </c>
    </row>
    <row r="12" spans="1:8" ht="55" customHeight="1" x14ac:dyDescent="0.35">
      <c r="A12" s="2" t="s">
        <v>70</v>
      </c>
      <c r="B12" s="2" t="s">
        <v>71</v>
      </c>
      <c r="C12" s="3" t="s">
        <v>72</v>
      </c>
      <c r="D12" s="3" t="s">
        <v>73</v>
      </c>
      <c r="E12" s="3" t="s">
        <v>74</v>
      </c>
      <c r="F12" s="3" t="s">
        <v>75</v>
      </c>
      <c r="G12" s="3" t="s">
        <v>76</v>
      </c>
      <c r="H12" s="4" t="s">
        <v>15</v>
      </c>
    </row>
    <row r="13" spans="1:8" ht="55" customHeight="1" x14ac:dyDescent="0.35">
      <c r="A13" s="5" t="s">
        <v>77</v>
      </c>
      <c r="B13" s="5" t="s">
        <v>71</v>
      </c>
      <c r="C13" s="6" t="s">
        <v>78</v>
      </c>
      <c r="D13" s="6" t="s">
        <v>79</v>
      </c>
      <c r="E13" s="6" t="s">
        <v>80</v>
      </c>
      <c r="F13" s="6" t="s">
        <v>81</v>
      </c>
      <c r="G13" s="6" t="s">
        <v>82</v>
      </c>
      <c r="H13" s="4" t="s">
        <v>15</v>
      </c>
    </row>
    <row r="14" spans="1:8" ht="55" customHeight="1" x14ac:dyDescent="0.35">
      <c r="A14" s="2" t="s">
        <v>83</v>
      </c>
      <c r="B14" s="2" t="s">
        <v>71</v>
      </c>
      <c r="C14" s="3" t="s">
        <v>84</v>
      </c>
      <c r="D14" s="3" t="s">
        <v>85</v>
      </c>
      <c r="E14" s="3" t="s">
        <v>80</v>
      </c>
      <c r="F14" s="3" t="s">
        <v>86</v>
      </c>
      <c r="G14" s="3" t="s">
        <v>82</v>
      </c>
      <c r="H14" s="4" t="s">
        <v>15</v>
      </c>
    </row>
    <row r="15" spans="1:8" ht="55" customHeight="1" x14ac:dyDescent="0.35">
      <c r="A15" s="5" t="s">
        <v>87</v>
      </c>
      <c r="B15" s="5" t="s">
        <v>88</v>
      </c>
      <c r="C15" s="6" t="s">
        <v>89</v>
      </c>
      <c r="D15" s="6" t="s">
        <v>90</v>
      </c>
      <c r="E15" s="6" t="s">
        <v>91</v>
      </c>
      <c r="F15" s="6" t="s">
        <v>92</v>
      </c>
      <c r="G15" s="6" t="s">
        <v>93</v>
      </c>
      <c r="H15" s="4" t="s">
        <v>15</v>
      </c>
    </row>
    <row r="16" spans="1:8" ht="55" customHeight="1" x14ac:dyDescent="0.35">
      <c r="A16" s="2" t="s">
        <v>94</v>
      </c>
      <c r="B16" s="2" t="s">
        <v>88</v>
      </c>
      <c r="C16" s="3" t="s">
        <v>95</v>
      </c>
      <c r="D16" s="3" t="s">
        <v>96</v>
      </c>
      <c r="E16" s="3" t="s">
        <v>97</v>
      </c>
      <c r="F16" s="3" t="s">
        <v>98</v>
      </c>
      <c r="G16" s="3" t="s">
        <v>99</v>
      </c>
      <c r="H16" s="4" t="s">
        <v>15</v>
      </c>
    </row>
    <row r="17" spans="1:8" ht="55" customHeight="1" x14ac:dyDescent="0.35">
      <c r="A17" s="5" t="s">
        <v>100</v>
      </c>
      <c r="B17" s="5" t="s">
        <v>88</v>
      </c>
      <c r="C17" s="6" t="s">
        <v>101</v>
      </c>
      <c r="D17" s="6" t="s">
        <v>102</v>
      </c>
      <c r="E17" s="6" t="s">
        <v>97</v>
      </c>
      <c r="F17" s="6" t="s">
        <v>103</v>
      </c>
      <c r="G17" s="6" t="s">
        <v>104</v>
      </c>
      <c r="H17" s="4" t="s">
        <v>15</v>
      </c>
    </row>
    <row r="18" spans="1:8" ht="55" customHeight="1" x14ac:dyDescent="0.35">
      <c r="A18" s="2" t="s">
        <v>105</v>
      </c>
      <c r="B18" s="2" t="s">
        <v>9</v>
      </c>
      <c r="C18" s="3" t="s">
        <v>106</v>
      </c>
      <c r="D18" s="3" t="s">
        <v>107</v>
      </c>
      <c r="E18" s="3" t="s">
        <v>108</v>
      </c>
      <c r="F18" s="3" t="s">
        <v>109</v>
      </c>
      <c r="G18" s="3" t="s">
        <v>110</v>
      </c>
      <c r="H18" s="4" t="s">
        <v>15</v>
      </c>
    </row>
    <row r="19" spans="1:8" ht="55" customHeight="1" x14ac:dyDescent="0.35">
      <c r="A19" s="5" t="s">
        <v>111</v>
      </c>
      <c r="B19" s="5" t="s">
        <v>9</v>
      </c>
      <c r="C19" s="6" t="s">
        <v>112</v>
      </c>
      <c r="D19" s="6" t="s">
        <v>113</v>
      </c>
      <c r="E19" s="6" t="s">
        <v>114</v>
      </c>
      <c r="F19" s="6" t="s">
        <v>115</v>
      </c>
      <c r="G19" s="6" t="s">
        <v>116</v>
      </c>
      <c r="H19" s="4" t="s">
        <v>15</v>
      </c>
    </row>
    <row r="20" spans="1:8" ht="55" customHeight="1" x14ac:dyDescent="0.35">
      <c r="A20" s="2" t="s">
        <v>117</v>
      </c>
      <c r="B20" s="2" t="s">
        <v>118</v>
      </c>
      <c r="C20" s="3" t="s">
        <v>119</v>
      </c>
      <c r="D20" s="3" t="s">
        <v>120</v>
      </c>
      <c r="E20" s="3" t="s">
        <v>80</v>
      </c>
      <c r="F20" s="3" t="s">
        <v>121</v>
      </c>
      <c r="G20" s="3" t="s">
        <v>122</v>
      </c>
      <c r="H20" s="4" t="s">
        <v>15</v>
      </c>
    </row>
    <row r="21" spans="1:8" ht="55" customHeight="1" x14ac:dyDescent="0.35">
      <c r="A21" s="5" t="s">
        <v>123</v>
      </c>
      <c r="B21" s="5" t="s">
        <v>9</v>
      </c>
      <c r="C21" s="6" t="s">
        <v>124</v>
      </c>
      <c r="D21" s="6" t="s">
        <v>125</v>
      </c>
      <c r="E21" s="6" t="s">
        <v>114</v>
      </c>
      <c r="F21" s="6" t="s">
        <v>126</v>
      </c>
      <c r="G21" s="6" t="s">
        <v>127</v>
      </c>
      <c r="H21" s="4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13" customWidth="1"/>
    <col min="3" max="3" width="38" customWidth="1"/>
    <col min="4" max="4" width="11" customWidth="1"/>
    <col min="5" max="5" width="10" customWidth="1"/>
    <col min="6" max="6" width="42" customWidth="1"/>
    <col min="7" max="7" width="30" customWidth="1"/>
    <col min="8" max="8" width="35" customWidth="1"/>
    <col min="9" max="9" width="12" customWidth="1"/>
  </cols>
  <sheetData>
    <row r="1" spans="1:9" ht="30" customHeight="1" x14ac:dyDescent="0.35">
      <c r="A1" s="8" t="s">
        <v>128</v>
      </c>
      <c r="B1" s="8" t="s">
        <v>0</v>
      </c>
      <c r="C1" s="8" t="s">
        <v>129</v>
      </c>
      <c r="D1" s="8" t="s">
        <v>130</v>
      </c>
      <c r="E1" s="8" t="s">
        <v>131</v>
      </c>
      <c r="F1" s="8" t="s">
        <v>132</v>
      </c>
      <c r="G1" s="8" t="s">
        <v>5</v>
      </c>
      <c r="H1" s="8" t="s">
        <v>6</v>
      </c>
      <c r="I1" s="8" t="s">
        <v>7</v>
      </c>
    </row>
    <row r="2" spans="1:9" ht="65" customHeight="1" x14ac:dyDescent="0.35">
      <c r="A2" s="2" t="s">
        <v>133</v>
      </c>
      <c r="B2" s="2" t="s">
        <v>57</v>
      </c>
      <c r="C2" s="3" t="s">
        <v>134</v>
      </c>
      <c r="D2" s="9" t="s">
        <v>135</v>
      </c>
      <c r="E2" s="2" t="s">
        <v>135</v>
      </c>
      <c r="F2" s="3" t="s">
        <v>136</v>
      </c>
      <c r="G2" s="3" t="s">
        <v>137</v>
      </c>
      <c r="H2" s="3" t="s">
        <v>138</v>
      </c>
      <c r="I2" s="10" t="s">
        <v>139</v>
      </c>
    </row>
    <row r="3" spans="1:9" ht="65" customHeight="1" x14ac:dyDescent="0.35">
      <c r="A3" s="5" t="s">
        <v>140</v>
      </c>
      <c r="B3" s="5" t="s">
        <v>28</v>
      </c>
      <c r="C3" s="6" t="s">
        <v>141</v>
      </c>
      <c r="D3" s="11" t="s">
        <v>142</v>
      </c>
      <c r="E3" s="5" t="s">
        <v>142</v>
      </c>
      <c r="F3" s="6" t="s">
        <v>30</v>
      </c>
      <c r="G3" s="6" t="s">
        <v>143</v>
      </c>
      <c r="H3" s="6" t="s">
        <v>144</v>
      </c>
      <c r="I3" s="10" t="s">
        <v>139</v>
      </c>
    </row>
    <row r="4" spans="1:9" ht="65" customHeight="1" x14ac:dyDescent="0.35">
      <c r="A4" s="2" t="s">
        <v>145</v>
      </c>
      <c r="B4" s="2" t="s">
        <v>77</v>
      </c>
      <c r="C4" s="3" t="s">
        <v>146</v>
      </c>
      <c r="D4" s="11" t="s">
        <v>142</v>
      </c>
      <c r="E4" s="2" t="s">
        <v>135</v>
      </c>
      <c r="F4" s="3" t="s">
        <v>147</v>
      </c>
      <c r="G4" s="3" t="s">
        <v>148</v>
      </c>
      <c r="H4" s="3" t="s">
        <v>149</v>
      </c>
      <c r="I4" s="12" t="s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workbookViewId="0"/>
  </sheetViews>
  <sheetFormatPr defaultRowHeight="14.5" x14ac:dyDescent="0.35"/>
  <cols>
    <col min="1" max="1" width="25" customWidth="1"/>
    <col min="2" max="2" width="40" customWidth="1"/>
  </cols>
  <sheetData>
    <row r="1" spans="1:2" x14ac:dyDescent="0.35">
      <c r="A1" s="13" t="s">
        <v>151</v>
      </c>
      <c r="B1" s="14" t="s">
        <v>152</v>
      </c>
    </row>
    <row r="2" spans="1:2" x14ac:dyDescent="0.35">
      <c r="A2" s="13" t="s">
        <v>153</v>
      </c>
      <c r="B2" s="14"/>
    </row>
    <row r="3" spans="1:2" x14ac:dyDescent="0.35">
      <c r="A3" s="13" t="s">
        <v>154</v>
      </c>
      <c r="B3" s="14"/>
    </row>
    <row r="4" spans="1:2" x14ac:dyDescent="0.35">
      <c r="A4" s="13" t="s">
        <v>155</v>
      </c>
      <c r="B4" s="14"/>
    </row>
    <row r="5" spans="1:2" x14ac:dyDescent="0.35">
      <c r="A5" s="13" t="s">
        <v>156</v>
      </c>
      <c r="B5" s="14" t="s">
        <v>157</v>
      </c>
    </row>
    <row r="6" spans="1:2" x14ac:dyDescent="0.35">
      <c r="A6" s="15"/>
      <c r="B6" s="15"/>
    </row>
    <row r="7" spans="1:2" x14ac:dyDescent="0.35">
      <c r="A7" s="1" t="s">
        <v>158</v>
      </c>
      <c r="B7" s="1" t="s">
        <v>159</v>
      </c>
    </row>
    <row r="8" spans="1:2" x14ac:dyDescent="0.35">
      <c r="A8" s="16" t="s">
        <v>160</v>
      </c>
      <c r="B8" s="17">
        <v>20</v>
      </c>
    </row>
    <row r="9" spans="1:2" x14ac:dyDescent="0.35">
      <c r="A9" s="16" t="s">
        <v>15</v>
      </c>
      <c r="B9" s="17">
        <f>COUNTIF('Test Cases'!H2:H21,"Pass")</f>
        <v>19</v>
      </c>
    </row>
    <row r="10" spans="1:2" x14ac:dyDescent="0.35">
      <c r="A10" s="16" t="s">
        <v>63</v>
      </c>
      <c r="B10" s="17">
        <f>COUNTIF('Test Cases'!H2:H21,"Fail")</f>
        <v>1</v>
      </c>
    </row>
    <row r="11" spans="1:2" x14ac:dyDescent="0.35">
      <c r="A11" s="16" t="s">
        <v>161</v>
      </c>
      <c r="B11" s="17">
        <f>COUNTIF('Test Cases'!H2:H21,"Not Executed")</f>
        <v>0</v>
      </c>
    </row>
    <row r="12" spans="1:2" x14ac:dyDescent="0.35">
      <c r="A12" s="15"/>
      <c r="B12" s="15"/>
    </row>
    <row r="13" spans="1:2" x14ac:dyDescent="0.35">
      <c r="A13" s="16" t="s">
        <v>162</v>
      </c>
      <c r="B13" s="17">
        <f>COUNTA('Bug Report'!A2:A100)</f>
        <v>3</v>
      </c>
    </row>
    <row r="14" spans="1:2" x14ac:dyDescent="0.35">
      <c r="A14" s="16" t="s">
        <v>163</v>
      </c>
      <c r="B14" s="17">
        <f>COUNTIF('Bug Report'!I2:I100,"Open")</f>
        <v>2</v>
      </c>
    </row>
    <row r="15" spans="1:2" x14ac:dyDescent="0.35">
      <c r="A15" s="16" t="s">
        <v>164</v>
      </c>
      <c r="B15" s="17">
        <f>COUNTIF('Bug Report'!I2:I100,"Closed")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Bug Report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Chandana P</cp:lastModifiedBy>
  <dcterms:created xsi:type="dcterms:W3CDTF">2026-03-11T13:43:38Z</dcterms:created>
  <dcterms:modified xsi:type="dcterms:W3CDTF">2026-03-11T13:56:43Z</dcterms:modified>
</cp:coreProperties>
</file>